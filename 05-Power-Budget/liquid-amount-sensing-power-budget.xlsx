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0" documentId="8_{257307F0-4242-48AB-9436-BC6902C2C4B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Power Budg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2" i="1" l="1"/>
  <c r="J23" i="1"/>
</calcChain>
</file>

<file path=xl/sharedStrings.xml><?xml version="1.0" encoding="utf-8"?>
<sst xmlns="http://schemas.openxmlformats.org/spreadsheetml/2006/main" count="34" uniqueCount="33">
  <si>
    <t>Component</t>
  </si>
  <si>
    <t>Voltage (V)</t>
  </si>
  <si>
    <t>Current (mA)</t>
  </si>
  <si>
    <t>Power (mW)</t>
  </si>
  <si>
    <t>Source / Notes</t>
  </si>
  <si>
    <t>PIC18F57Q43 Curiosity Nano</t>
  </si>
  <si>
    <t>Conservative design assumption</t>
  </si>
  <si>
    <t>NAU7802KGI</t>
  </si>
  <si>
    <t>Datasheet operating current</t>
  </si>
  <si>
    <t>1 kg Load Cell</t>
  </si>
  <si>
    <t>Status LED + R3</t>
  </si>
  <si>
    <t>Calculated: (5 V - 2.65 V) / 1.2 kOhm</t>
  </si>
  <si>
    <t>Tare/Zero Pull-up R4</t>
  </si>
  <si>
    <t>Worst case with button pressed</t>
  </si>
  <si>
    <t>R5/R6 Digital Pull-ups</t>
  </si>
  <si>
    <t>Worst-case combined</t>
  </si>
  <si>
    <t>Curiosity Nano External-Power Overhead</t>
  </si>
  <si>
    <t>USB connected; board overhead</t>
  </si>
  <si>
    <t>R7/R8 Command Pull-downs</t>
  </si>
  <si>
    <t>R7/R8 100 kOhm pull-downs; worst-case combined</t>
  </si>
  <si>
    <t>ESTIMATED TOTAL</t>
  </si>
  <si>
    <t>25% DESIGN MARGIN</t>
  </si>
  <si>
    <t>DESIGN REQUIREMENT</t>
  </si>
  <si>
    <t>FUSE LIMIT</t>
  </si>
  <si>
    <t>REMAINING CURRENT MARGIN</t>
  </si>
  <si>
    <t>LM7805 Thermal Budget</t>
  </si>
  <si>
    <t>Condition</t>
  </si>
  <si>
    <t>Input Voltage (V)</t>
  </si>
  <si>
    <t>Output Voltage (V)</t>
  </si>
  <si>
    <t>Design Current (A)</t>
  </si>
  <si>
    <t>Regulator Dissipation (W)</t>
  </si>
  <si>
    <t>Minimum Input</t>
  </si>
  <si>
    <t>Maximum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</si>
</sst>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tabSelected="1" topLeftCell="A9" workbookViewId="0">
      <selection activeCell="O18" sqref="O18"/>
    </sheetView>
  </sheetViews>
  <sheetFormatPr defaultRowHeight="15"/>
  <sheetData>
    <row r="1" spans="1:17">
      <c r="A1" s="1" t="s">
        <v>0</v>
      </c>
      <c r="B1" s="1"/>
      <c r="C1" s="1"/>
      <c r="D1" s="1"/>
      <c r="E1" t="s">
        <v>1</v>
      </c>
      <c r="G1" t="s">
        <v>2</v>
      </c>
      <c r="I1" t="s">
        <v>3</v>
      </c>
      <c r="K1" t="s">
        <v>4</v>
      </c>
    </row>
    <row r="2" spans="1:17">
      <c r="A2" s="1" t="s">
        <v>5</v>
      </c>
      <c r="B2" s="1"/>
      <c r="C2" s="1"/>
      <c r="D2" s="1"/>
      <c r="E2">
        <v>5</v>
      </c>
      <c r="G2">
        <v>50</v>
      </c>
      <c r="I2">
        <v>250</v>
      </c>
      <c r="K2" s="1" t="s">
        <v>6</v>
      </c>
      <c r="M2" s="1"/>
      <c r="O2" s="1"/>
      <c r="Q2" s="1"/>
    </row>
    <row r="3" spans="1:17">
      <c r="A3" t="s">
        <v>7</v>
      </c>
      <c r="E3">
        <v>5</v>
      </c>
      <c r="G3">
        <v>2.1</v>
      </c>
      <c r="I3">
        <v>10.5</v>
      </c>
      <c r="K3" t="s">
        <v>8</v>
      </c>
    </row>
    <row r="4" spans="1:17">
      <c r="A4" t="s">
        <v>9</v>
      </c>
      <c r="E4">
        <v>5</v>
      </c>
      <c r="G4">
        <v>15</v>
      </c>
      <c r="I4">
        <v>75</v>
      </c>
      <c r="K4" t="s">
        <v>6</v>
      </c>
    </row>
    <row r="5" spans="1:17">
      <c r="A5" t="s">
        <v>10</v>
      </c>
      <c r="E5">
        <v>5</v>
      </c>
      <c r="G5">
        <v>1.96</v>
      </c>
      <c r="I5">
        <v>9.8000000000000007</v>
      </c>
      <c r="K5" t="s">
        <v>11</v>
      </c>
    </row>
    <row r="6" spans="1:17">
      <c r="A6" t="s">
        <v>12</v>
      </c>
      <c r="E6">
        <v>5</v>
      </c>
      <c r="G6">
        <v>0.5</v>
      </c>
      <c r="I6">
        <v>2.5</v>
      </c>
      <c r="K6" t="s">
        <v>13</v>
      </c>
    </row>
    <row r="7" spans="1:17" ht="18" customHeight="1">
      <c r="A7" t="s">
        <v>14</v>
      </c>
      <c r="E7">
        <v>5</v>
      </c>
      <c r="G7">
        <v>2.13</v>
      </c>
      <c r="I7">
        <v>10.65</v>
      </c>
      <c r="K7" t="s">
        <v>15</v>
      </c>
    </row>
    <row r="8" spans="1:17">
      <c r="A8" t="s">
        <v>16</v>
      </c>
      <c r="E8">
        <v>5</v>
      </c>
      <c r="G8">
        <v>0.1</v>
      </c>
      <c r="I8">
        <v>0.5</v>
      </c>
      <c r="K8" t="s">
        <v>17</v>
      </c>
    </row>
    <row r="9" spans="1:17">
      <c r="A9" t="s">
        <v>18</v>
      </c>
      <c r="E9">
        <v>5</v>
      </c>
      <c r="G9">
        <v>0.1</v>
      </c>
      <c r="I9">
        <v>0.5</v>
      </c>
      <c r="K9" t="s">
        <v>19</v>
      </c>
    </row>
    <row r="10" spans="1:17">
      <c r="A10" t="s">
        <v>20</v>
      </c>
      <c r="G10">
        <v>71.89</v>
      </c>
      <c r="I10">
        <v>359.45</v>
      </c>
    </row>
    <row r="11" spans="1:17">
      <c r="A11" t="s">
        <v>21</v>
      </c>
      <c r="G11">
        <v>17.97</v>
      </c>
    </row>
    <row r="12" spans="1:17">
      <c r="A12" t="s">
        <v>22</v>
      </c>
      <c r="G12">
        <v>89.86</v>
      </c>
    </row>
    <row r="13" spans="1:17">
      <c r="A13" t="s">
        <v>23</v>
      </c>
      <c r="G13">
        <v>500</v>
      </c>
    </row>
    <row r="14" spans="1:17">
      <c r="A14" t="s">
        <v>24</v>
      </c>
      <c r="G14">
        <v>410.14</v>
      </c>
    </row>
    <row r="20" spans="1:10">
      <c r="A20" s="1" t="s">
        <v>25</v>
      </c>
      <c r="B20" s="1"/>
      <c r="C20" s="1"/>
    </row>
    <row r="21" spans="1:10">
      <c r="A21" s="1" t="s">
        <v>26</v>
      </c>
      <c r="B21" s="1"/>
      <c r="C21" s="1"/>
      <c r="D21" s="1" t="s">
        <v>27</v>
      </c>
      <c r="F21" s="1" t="s">
        <v>28</v>
      </c>
      <c r="H21" s="1" t="s">
        <v>29</v>
      </c>
      <c r="J21" s="1" t="s">
        <v>30</v>
      </c>
    </row>
    <row r="22" spans="1:10">
      <c r="A22" t="s">
        <v>31</v>
      </c>
      <c r="D22">
        <v>9</v>
      </c>
      <c r="F22">
        <v>5</v>
      </c>
      <c r="H22">
        <v>0.09</v>
      </c>
      <c r="J22">
        <f>(D22-F22)*H22</f>
        <v>0.36</v>
      </c>
    </row>
    <row r="23" spans="1:10">
      <c r="A23" t="s">
        <v>32</v>
      </c>
      <c r="D23">
        <v>12</v>
      </c>
      <c r="F23">
        <v>5</v>
      </c>
      <c r="H23">
        <v>0.09</v>
      </c>
      <c r="J23">
        <f>(D23-F23)*H23</f>
        <v>0.63</v>
      </c>
    </row>
  </sheetData>
  <printOptions horizontalCentere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2026-10-26T04:59:03Z</dcterms:created>
  <dcterms:modified xsi:type="dcterms:W3CDTF">2026-10-26T10:55:49Z</dcterms:modified>
  <cp:category/>
  <cp:contentStatus/>
</cp:coreProperties>
</file>