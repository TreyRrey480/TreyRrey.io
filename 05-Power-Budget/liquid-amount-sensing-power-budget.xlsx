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 defaultThemeVersion="166925"/>
  <xr:revisionPtr revIDLastSave="0" documentId="8_{6DA061E9-8FE4-492F-A2EB-E8F586DAC1E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ower Budg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G10" i="1"/>
  <c r="I10" i="1"/>
  <c r="G12" i="1"/>
  <c r="G14" i="1"/>
  <c r="K18" i="1"/>
  <c r="K19" i="1"/>
</calcChain>
</file>

<file path=xl/sharedStrings.xml><?xml version="1.0" encoding="utf-8"?>
<sst xmlns="http://schemas.openxmlformats.org/spreadsheetml/2006/main" count="33" uniqueCount="32">
  <si>
    <t>Liquid Amount Sensing - Power Budget</t>
  </si>
  <si>
    <t>Component</t>
  </si>
  <si>
    <t>Voltage (V)</t>
  </si>
  <si>
    <t>Current (mA)</t>
  </si>
  <si>
    <t>Power (mW)</t>
  </si>
  <si>
    <t>Source / Notes</t>
  </si>
  <si>
    <t>PIC18F57Q43 Curiosity Nano</t>
  </si>
  <si>
    <t>Conservative design assumption</t>
  </si>
  <si>
    <t>NAU7802KGI</t>
  </si>
  <si>
    <t>Datasheet operating current</t>
  </si>
  <si>
    <t>1 kg Load Cell</t>
  </si>
  <si>
    <t>Status LED + R3</t>
  </si>
  <si>
    <t>Calculated: (5 V - 2.65 V) / 1.2 kOhm</t>
  </si>
  <si>
    <t>Tare/Zero Pull-up R4</t>
  </si>
  <si>
    <t>Worst case with button pressed</t>
  </si>
  <si>
    <t>R5/R6 Digital Pull-ups</t>
  </si>
  <si>
    <t>Worst-case combined</t>
  </si>
  <si>
    <t>Curiosity Nano External-Power Overhead</t>
  </si>
  <si>
    <t>USB connected; board overhead</t>
  </si>
  <si>
    <t>ESTIMATED TOTAL</t>
  </si>
  <si>
    <t>25% DESIGN MARGIN</t>
  </si>
  <si>
    <t>DESIGN REQUIREMENT</t>
  </si>
  <si>
    <t>FUSE LIMIT</t>
  </si>
  <si>
    <t>REMAINING CURRENT MARGIN</t>
  </si>
  <si>
    <t>LM7805 Thermal Budget</t>
  </si>
  <si>
    <t>Condition</t>
  </si>
  <si>
    <t>Input Voltage (V)</t>
  </si>
  <si>
    <t>Output Voltage (V)</t>
  </si>
  <si>
    <t>Design Current (A)</t>
  </si>
  <si>
    <t>Regulator Dissipation (W)</t>
  </si>
  <si>
    <t>Minimum Input</t>
  </si>
  <si>
    <t>Maximum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</si>
</sst>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G11" sqref="G11"/>
    </sheetView>
  </sheetViews>
  <sheetFormatPr defaultRowHeight="15"/>
  <sheetData>
    <row r="1" spans="1:11">
      <c r="A1" s="1" t="s">
        <v>0</v>
      </c>
    </row>
    <row r="2" spans="1:11">
      <c r="A2" s="1" t="s">
        <v>1</v>
      </c>
      <c r="E2" s="1" t="s">
        <v>2</v>
      </c>
      <c r="G2" s="1" t="s">
        <v>3</v>
      </c>
      <c r="I2" s="1" t="s">
        <v>4</v>
      </c>
      <c r="K2" s="1" t="s">
        <v>5</v>
      </c>
    </row>
    <row r="3" spans="1:11">
      <c r="A3" t="s">
        <v>6</v>
      </c>
      <c r="E3">
        <v>5</v>
      </c>
      <c r="G3">
        <v>50</v>
      </c>
      <c r="I3">
        <f>E3*G3</f>
        <v>250</v>
      </c>
      <c r="K3" t="s">
        <v>7</v>
      </c>
    </row>
    <row r="4" spans="1:11">
      <c r="A4" t="s">
        <v>8</v>
      </c>
      <c r="E4">
        <v>5</v>
      </c>
      <c r="G4">
        <v>2.1</v>
      </c>
      <c r="I4">
        <f>E4*G4</f>
        <v>10.5</v>
      </c>
      <c r="K4" t="s">
        <v>9</v>
      </c>
    </row>
    <row r="5" spans="1:11">
      <c r="A5" t="s">
        <v>10</v>
      </c>
      <c r="E5">
        <v>5</v>
      </c>
      <c r="G5">
        <v>15</v>
      </c>
      <c r="I5">
        <f>E5*G5</f>
        <v>75</v>
      </c>
      <c r="K5" t="s">
        <v>7</v>
      </c>
    </row>
    <row r="6" spans="1:11">
      <c r="A6" t="s">
        <v>11</v>
      </c>
      <c r="E6">
        <v>5</v>
      </c>
      <c r="G6">
        <v>1.96</v>
      </c>
      <c r="I6">
        <f>E6*G6</f>
        <v>9.8000000000000007</v>
      </c>
      <c r="K6" t="s">
        <v>12</v>
      </c>
    </row>
    <row r="7" spans="1:11">
      <c r="A7" t="s">
        <v>13</v>
      </c>
      <c r="E7">
        <v>5</v>
      </c>
      <c r="G7">
        <v>0.5</v>
      </c>
      <c r="I7">
        <f>E7*G7</f>
        <v>2.5</v>
      </c>
      <c r="K7" t="s">
        <v>14</v>
      </c>
    </row>
    <row r="8" spans="1:11">
      <c r="A8" t="s">
        <v>15</v>
      </c>
      <c r="E8">
        <v>5</v>
      </c>
      <c r="G8">
        <v>2.13</v>
      </c>
      <c r="I8">
        <f>E8*G8</f>
        <v>10.649999999999999</v>
      </c>
      <c r="K8" t="s">
        <v>16</v>
      </c>
    </row>
    <row r="9" spans="1:11">
      <c r="A9" t="s">
        <v>17</v>
      </c>
      <c r="E9">
        <v>5</v>
      </c>
      <c r="G9">
        <v>0.1</v>
      </c>
      <c r="I9">
        <f>E9*G9</f>
        <v>0.5</v>
      </c>
      <c r="K9" t="s">
        <v>18</v>
      </c>
    </row>
    <row r="10" spans="1:11">
      <c r="A10" t="s">
        <v>19</v>
      </c>
      <c r="G10">
        <f>SUM(G3:G9)</f>
        <v>71.789999999999978</v>
      </c>
      <c r="I10">
        <f>SUM(I3:I9)</f>
        <v>358.95</v>
      </c>
    </row>
    <row r="11" spans="1:11">
      <c r="A11" t="s">
        <v>20</v>
      </c>
      <c r="G11">
        <v>17.95</v>
      </c>
    </row>
    <row r="12" spans="1:11">
      <c r="A12" t="s">
        <v>21</v>
      </c>
      <c r="G12">
        <f>G10+G11</f>
        <v>89.739999999999981</v>
      </c>
    </row>
    <row r="13" spans="1:11">
      <c r="A13" t="s">
        <v>22</v>
      </c>
      <c r="G13">
        <v>500</v>
      </c>
    </row>
    <row r="14" spans="1:11">
      <c r="A14" t="s">
        <v>23</v>
      </c>
      <c r="G14">
        <f>G13-G12</f>
        <v>410.26</v>
      </c>
    </row>
    <row r="16" spans="1:11">
      <c r="A16" s="1" t="s">
        <v>24</v>
      </c>
    </row>
    <row r="17" spans="1:11">
      <c r="A17" s="1" t="s">
        <v>25</v>
      </c>
      <c r="E17" s="1" t="s">
        <v>26</v>
      </c>
      <c r="G17" s="1" t="s">
        <v>27</v>
      </c>
      <c r="I17" s="1" t="s">
        <v>28</v>
      </c>
      <c r="K17" s="1" t="s">
        <v>29</v>
      </c>
    </row>
    <row r="18" spans="1:11">
      <c r="A18" t="s">
        <v>30</v>
      </c>
      <c r="E18">
        <v>9</v>
      </c>
      <c r="G18">
        <v>5</v>
      </c>
      <c r="I18">
        <v>0.09</v>
      </c>
      <c r="K18">
        <f>(E18-G18)*I18</f>
        <v>0.36</v>
      </c>
    </row>
    <row r="19" spans="1:11">
      <c r="A19" t="s">
        <v>31</v>
      </c>
      <c r="E19">
        <v>12</v>
      </c>
      <c r="G19">
        <v>5</v>
      </c>
      <c r="I19">
        <v>0.09</v>
      </c>
      <c r="K19">
        <f>(E19-G19)*I19</f>
        <v>0.63</v>
      </c>
    </row>
  </sheetData>
  <printOptions horizont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2026-10-26T04:59:03Z</dcterms:created>
  <dcterms:modified xsi:type="dcterms:W3CDTF">2026-10-26T05:26:43Z</dcterms:modified>
  <cp:category/>
  <cp:contentStatus/>
</cp:coreProperties>
</file>